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rl\OneDrive\Documents\Uni\Doctorate\"/>
    </mc:Choice>
  </mc:AlternateContent>
  <xr:revisionPtr revIDLastSave="0" documentId="13_ncr:1_{A397F55C-9E6D-409A-94F7-051AF0BBEFFE}" xr6:coauthVersionLast="47" xr6:coauthVersionMax="47" xr10:uidLastSave="{00000000-0000-0000-0000-000000000000}"/>
  <bookViews>
    <workbookView xWindow="-110" yWindow="-110" windowWidth="22620" windowHeight="13500" xr2:uid="{835D7DE1-F172-4915-ACED-AA4F1602EFB4}"/>
  </bookViews>
  <sheets>
    <sheet name="Susceptibility score" sheetId="1" r:id="rId1"/>
    <sheet name="Example - LMC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  <c r="G11" i="1"/>
  <c r="H11" i="1" s="1"/>
  <c r="H10" i="1"/>
  <c r="H9" i="1"/>
  <c r="H8" i="1"/>
  <c r="H7" i="1"/>
  <c r="H6" i="1"/>
  <c r="H5" i="1"/>
  <c r="H4" i="1"/>
  <c r="H3" i="1"/>
  <c r="H47" i="2"/>
  <c r="H51" i="2"/>
  <c r="G50" i="2"/>
  <c r="H50" i="2" s="1"/>
  <c r="H49" i="2"/>
  <c r="H48" i="2"/>
  <c r="H46" i="2"/>
  <c r="H45" i="2"/>
  <c r="H44" i="2"/>
  <c r="H43" i="2"/>
  <c r="H42" i="2"/>
  <c r="G12" i="2"/>
  <c r="H12" i="2" s="1"/>
  <c r="K3" i="2" s="1"/>
  <c r="G31" i="2"/>
  <c r="H31" i="2" s="1"/>
  <c r="H32" i="2"/>
  <c r="H30" i="2"/>
  <c r="H29" i="2"/>
  <c r="H28" i="2"/>
  <c r="H27" i="2"/>
  <c r="H26" i="2"/>
  <c r="H25" i="2"/>
  <c r="H24" i="2"/>
  <c r="H23" i="2"/>
  <c r="H5" i="2"/>
  <c r="H13" i="2"/>
  <c r="H11" i="2"/>
  <c r="H10" i="2"/>
  <c r="H9" i="2"/>
  <c r="H8" i="2"/>
  <c r="H6" i="2"/>
  <c r="H4" i="2"/>
  <c r="H7" i="2"/>
  <c r="K2" i="1" l="1"/>
  <c r="K3" i="1" s="1" a="1"/>
  <c r="K3" i="1" s="1"/>
  <c r="K41" i="2"/>
  <c r="K42" i="2" s="1" a="1"/>
  <c r="K42" i="2" s="1"/>
  <c r="K22" i="2"/>
  <c r="K23" i="2" s="1" a="1"/>
  <c r="K23" i="2" s="1"/>
  <c r="K4" i="2" a="1"/>
  <c r="K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Karina Guo</author>
  </authors>
  <commentList>
    <comment ref="B3" authorId="0" shapeId="0" xr:uid="{4532586E-1DCF-43F3-9F4B-D229F925BAA9}">
      <text>
        <r>
          <rPr>
            <b/>
            <sz val="9"/>
            <color indexed="81"/>
            <rFont val="Tahoma"/>
            <family val="2"/>
          </rPr>
          <t>Karina Guo:</t>
        </r>
        <r>
          <rPr>
            <sz val="9"/>
            <color indexed="81"/>
            <rFont val="Tahoma"/>
            <family val="2"/>
          </rPr>
          <t xml:space="preserve">
"C:\Users\swirl\OneDrive\Documents\Uni\Doctorate\Archive\SDM\Shiny\MR_MQ_SDM\Res_extract.R"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<sst xmlns="http://schemas.openxmlformats.org/spreadsheetml/2006/main" count="200" uniqueCount="52">
  <si>
    <t>Overall Susceptibility Score</t>
  </si>
  <si>
    <t>Climate Prediction Overlap Score</t>
  </si>
  <si>
    <t>Description</t>
  </si>
  <si>
    <t>Group</t>
  </si>
  <si>
    <t>Reproduction</t>
  </si>
  <si>
    <t>Is the site a single aged stand (i.e. no reproduction/recruitment is occurring)</t>
  </si>
  <si>
    <t>Single aged stand</t>
  </si>
  <si>
    <t>Good to know</t>
  </si>
  <si>
    <t>Disease presence</t>
  </si>
  <si>
    <t>Have the site been observed to have high diease presence</t>
  </si>
  <si>
    <t>Overall</t>
  </si>
  <si>
    <t>Genetics</t>
  </si>
  <si>
    <t>Category A</t>
  </si>
  <si>
    <t>Category B</t>
  </si>
  <si>
    <t>Were any individuals genotyped (using DArTag)</t>
  </si>
  <si>
    <t>Nearby genotyping?</t>
  </si>
  <si>
    <t>Has there been genotyping efforts nearby?</t>
  </si>
  <si>
    <t>Waterway nearby</t>
  </si>
  <si>
    <t>Edge effect or/and foot traffic present?</t>
  </si>
  <si>
    <t>Fire history last burnt and severity</t>
  </si>
  <si>
    <t>Site</t>
  </si>
  <si>
    <t>Is there a source of water nearby?
It increases relative humidity and thus more conducive to MR presence</t>
  </si>
  <si>
    <t xml:space="preserve">Is the population fragmented and sees high people traffic?
Fragmentation increases level </t>
  </si>
  <si>
    <t>If the site was burnt recently, the population exhibits higher stress</t>
  </si>
  <si>
    <t>Score</t>
  </si>
  <si>
    <t>Min Score</t>
  </si>
  <si>
    <t>Max Score</t>
  </si>
  <si>
    <t>Adjusted Score</t>
  </si>
  <si>
    <t>Severity of burn</t>
  </si>
  <si>
    <t>Time since last burnt (&gt;2010)</t>
  </si>
  <si>
    <t>Confidence of genotyping (L/M/H = 1/2/3)</t>
  </si>
  <si>
    <t>Has genotyping been conducted at the site and if so, which lifestage.
If genotyping has been done across adults, are there resistance alleles in the population (% resistant in lower third)
If genotyping has been done across seedlings, can we see signs of natural selection (% resistant in lower third)</t>
  </si>
  <si>
    <t>Yes (1) / No (0)</t>
  </si>
  <si>
    <t>High (1) / Low (0)</t>
  </si>
  <si>
    <t>Final score</t>
  </si>
  <si>
    <t>Susceptibility Ranking</t>
  </si>
  <si>
    <t>No</t>
  </si>
  <si>
    <t>Cold Tea Creek</t>
  </si>
  <si>
    <t>Cattai Wetlands</t>
  </si>
  <si>
    <t>Current risk? Sourced from the SDM. Acess the SDM and find the site's suitability to MR</t>
  </si>
  <si>
    <t>Future risk? Sourced from the SDM (2021-2040, SSP245). Acess the SDM and find the site's suitability to MR</t>
  </si>
  <si>
    <t>Yes</t>
  </si>
  <si>
    <t>Time since last burnt (Fire &gt;2010)</t>
  </si>
  <si>
    <t>Severity of burn (L/M/H = 1/2/3)</t>
  </si>
  <si>
    <t>Myall Lakes</t>
  </si>
  <si>
    <t>Signs of resistance in seedlings (L/M/H = 1/2/3)</t>
  </si>
  <si>
    <t>Signs of resistance in adults (L/M/H = 1/2/3)</t>
  </si>
  <si>
    <t>Signs of resistance in adults (L/M/H = 3/2/1)</t>
  </si>
  <si>
    <t>Signs of resistance in seedlings (L/M/H = 3/2/1)</t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</si>
  <si>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Plant in Winter</t>
    </r>
  </si>
  <si>
    <t>Mediating planting risk:</t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</si>
  <si>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Grow plants taller prior to translocation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</si>
</sst>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u/>
      <sz val="18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Aptos"/>
      <family val="2"/>
    </font>
    <font>
      <sz val="7"/>
      <color theme="1"/>
      <name val="Times New Roman"/>
      <family val="1"/>
    </font>
    <font>
      <sz val="12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2" borderId="0" xfId="0" applyFill="1"/>
    <xf numFmtId="0" fontId="3" fillId="0" borderId="0" xfId="0" applyFont="1"/>
    <xf numFmtId="0" fontId="0" fillId="0" borderId="0" xfId="0" applyAlignment="1">
      <alignment horizontal="center" vertical="center" wrapText="1"/>
    </xf>
    <xf numFmtId="0" fontId="8" fillId="0" borderId="0" xfId="0" applyFont="1" applyAlignment="1">
      <alignment horizontal="left" vertical="center" indent="12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9895D-DC15-44D9-BA3C-C74B8CFD7D67}">
  <dimension ref="A1:K20"/>
  <sheetViews>
    <sheetView tabSelected="1" zoomScale="71" workbookViewId="0">
      <selection activeCell="A20" sqref="A20"/>
    </sheetView>
  </sheetViews>
  <sheetFormatPr defaultRowHeight="14.5" x14ac:dyDescent="0.35"/>
  <cols>
    <col min="1" max="1" width="12" style="2" bestFit="1" customWidth="1"/>
    <col min="2" max="2" width="64.6328125" style="2" bestFit="1" customWidth="1"/>
    <col min="3" max="3" width="40" style="2" bestFit="1" customWidth="1"/>
    <col min="4" max="4" width="35.26953125" style="2" bestFit="1" customWidth="1"/>
    <col min="5" max="5" width="8.7265625" style="2"/>
    <col min="6" max="6" width="9.08984375" style="2" bestFit="1" customWidth="1"/>
    <col min="7" max="7" width="9.54296875" style="2" bestFit="1" customWidth="1"/>
    <col min="8" max="8" width="13.54296875" bestFit="1" customWidth="1"/>
  </cols>
  <sheetData>
    <row r="1" spans="1:11" ht="18.5" x14ac:dyDescent="0.35">
      <c r="A1" s="1"/>
      <c r="B1" s="5" t="s">
        <v>0</v>
      </c>
      <c r="C1" s="1"/>
      <c r="D1" s="1"/>
      <c r="E1" s="1"/>
      <c r="F1" s="1"/>
      <c r="G1" s="1"/>
      <c r="H1" s="7"/>
    </row>
    <row r="2" spans="1:11" x14ac:dyDescent="0.35">
      <c r="A2" s="6" t="s">
        <v>3</v>
      </c>
      <c r="B2" s="6" t="s">
        <v>2</v>
      </c>
      <c r="C2" s="6" t="s">
        <v>12</v>
      </c>
      <c r="D2" s="6" t="s">
        <v>13</v>
      </c>
      <c r="E2" s="6" t="s">
        <v>24</v>
      </c>
      <c r="F2" s="6" t="s">
        <v>25</v>
      </c>
      <c r="G2" s="6" t="s">
        <v>26</v>
      </c>
      <c r="H2" s="8" t="s">
        <v>27</v>
      </c>
      <c r="J2" s="4" t="s">
        <v>34</v>
      </c>
      <c r="K2" s="1" t="e">
        <f>(SUM(H3:H5)+SUM(H3:H5)+IF(OR(H6&lt;&gt;"",H7&lt;&gt;""),SUM(H6*H8,H7*H8),0))/COUNT(H3:H12)</f>
        <v>#DIV/0!</v>
      </c>
    </row>
    <row r="3" spans="1:11" ht="29" x14ac:dyDescent="0.35">
      <c r="A3" s="1" t="s">
        <v>10</v>
      </c>
      <c r="B3" s="1" t="s">
        <v>39</v>
      </c>
      <c r="C3" s="1" t="s">
        <v>1</v>
      </c>
      <c r="D3" s="1"/>
      <c r="E3" s="1"/>
      <c r="F3" s="1">
        <v>0</v>
      </c>
      <c r="G3" s="1">
        <v>1</v>
      </c>
      <c r="H3" s="1" t="str">
        <f t="shared" ref="H3:H5" si="0">IF(E3&lt;&gt;"", E3/G3, "")</f>
        <v/>
      </c>
      <c r="J3" s="4" t="s">
        <v>35</v>
      </c>
      <c r="K3" t="e" cm="1">
        <f t="array" ref="K3">_xlfn.IFS(K2&lt;0.3, "Low", AND(K2&gt;=0.3, K2&lt;0.6), "Moderate", K2&gt;=0.6, "High")</f>
        <v>#DIV/0!</v>
      </c>
    </row>
    <row r="4" spans="1:11" ht="29" x14ac:dyDescent="0.35">
      <c r="A4" s="1" t="s">
        <v>10</v>
      </c>
      <c r="B4" s="1" t="s">
        <v>40</v>
      </c>
      <c r="C4" s="1" t="s">
        <v>1</v>
      </c>
      <c r="D4" s="1"/>
      <c r="E4" s="1"/>
      <c r="F4" s="1">
        <v>0</v>
      </c>
      <c r="G4" s="1">
        <v>1</v>
      </c>
      <c r="H4" s="1" t="str">
        <f t="shared" si="0"/>
        <v/>
      </c>
      <c r="J4" s="4"/>
    </row>
    <row r="5" spans="1:11" ht="14.5" customHeight="1" x14ac:dyDescent="0.35">
      <c r="A5" s="1" t="s">
        <v>10</v>
      </c>
      <c r="B5" s="1" t="s">
        <v>9</v>
      </c>
      <c r="C5" s="1" t="s">
        <v>8</v>
      </c>
      <c r="D5" s="1" t="s">
        <v>33</v>
      </c>
      <c r="E5" s="1"/>
      <c r="F5" s="1">
        <v>0</v>
      </c>
      <c r="G5" s="1">
        <v>1</v>
      </c>
      <c r="H5" s="1" t="str">
        <f t="shared" si="0"/>
        <v/>
      </c>
    </row>
    <row r="6" spans="1:11" ht="29" x14ac:dyDescent="0.35">
      <c r="A6" s="11" t="s">
        <v>11</v>
      </c>
      <c r="B6" s="11" t="s">
        <v>31</v>
      </c>
      <c r="C6" s="11" t="s">
        <v>14</v>
      </c>
      <c r="D6" s="1" t="s">
        <v>47</v>
      </c>
      <c r="E6" s="1"/>
      <c r="F6" s="1">
        <v>0</v>
      </c>
      <c r="G6" s="1">
        <v>3</v>
      </c>
      <c r="H6" s="1" t="str">
        <f>IF(E6&lt;&gt;"", E6/G6, "")</f>
        <v/>
      </c>
    </row>
    <row r="7" spans="1:11" ht="14.5" customHeight="1" x14ac:dyDescent="0.35">
      <c r="A7" s="11"/>
      <c r="B7" s="11"/>
      <c r="C7" s="11"/>
      <c r="D7" s="1" t="s">
        <v>48</v>
      </c>
      <c r="E7" s="1"/>
      <c r="F7" s="1">
        <v>0</v>
      </c>
      <c r="G7" s="1">
        <v>3</v>
      </c>
      <c r="H7" s="1" t="str">
        <f t="shared" ref="H7:H8" si="1">IF(E7&lt;&gt;"", E7/G7, "")</f>
        <v/>
      </c>
    </row>
    <row r="8" spans="1:11" x14ac:dyDescent="0.35">
      <c r="A8" s="11"/>
      <c r="B8" s="11"/>
      <c r="C8" s="11"/>
      <c r="D8" s="1" t="s">
        <v>30</v>
      </c>
      <c r="E8" s="1"/>
      <c r="F8" s="1">
        <v>0</v>
      </c>
      <c r="G8" s="1">
        <v>3</v>
      </c>
      <c r="H8" s="1" t="str">
        <f t="shared" si="1"/>
        <v/>
      </c>
    </row>
    <row r="9" spans="1:11" ht="29" x14ac:dyDescent="0.35">
      <c r="A9" s="1" t="s">
        <v>20</v>
      </c>
      <c r="B9" s="1" t="s">
        <v>21</v>
      </c>
      <c r="C9" s="1" t="s">
        <v>17</v>
      </c>
      <c r="D9" s="1" t="s">
        <v>32</v>
      </c>
      <c r="E9" s="1"/>
      <c r="F9" s="1">
        <v>0</v>
      </c>
      <c r="G9" s="1">
        <v>1</v>
      </c>
      <c r="H9" s="1" t="str">
        <f>IF(E9&lt;&gt;"", E9/G9, "")</f>
        <v/>
      </c>
    </row>
    <row r="10" spans="1:11" ht="29" x14ac:dyDescent="0.35">
      <c r="A10" s="1" t="s">
        <v>20</v>
      </c>
      <c r="B10" s="1" t="s">
        <v>22</v>
      </c>
      <c r="C10" s="1" t="s">
        <v>18</v>
      </c>
      <c r="D10" s="1" t="s">
        <v>32</v>
      </c>
      <c r="E10" s="1"/>
      <c r="F10" s="1">
        <v>0</v>
      </c>
      <c r="G10" s="1">
        <v>1</v>
      </c>
      <c r="H10" s="1" t="str">
        <f>IF(E10&lt;&gt;"", E10/G10, "")</f>
        <v/>
      </c>
    </row>
    <row r="11" spans="1:11" x14ac:dyDescent="0.35">
      <c r="A11" s="11" t="s">
        <v>20</v>
      </c>
      <c r="B11" s="11" t="s">
        <v>23</v>
      </c>
      <c r="C11" s="11">
        <v>15</v>
      </c>
      <c r="D11" s="1" t="s">
        <v>29</v>
      </c>
      <c r="E11" s="1"/>
      <c r="F11" s="1">
        <v>0</v>
      </c>
      <c r="G11" s="1">
        <f ca="1">YEAR(TODAY())-2010</f>
        <v>15</v>
      </c>
      <c r="H11" s="1" t="str">
        <f>IF(E11&lt;&gt;"", E11/G11, "")</f>
        <v/>
      </c>
    </row>
    <row r="12" spans="1:11" x14ac:dyDescent="0.35">
      <c r="A12" s="11"/>
      <c r="B12" s="11"/>
      <c r="C12" s="11"/>
      <c r="D12" s="1" t="s">
        <v>28</v>
      </c>
      <c r="E12" s="1"/>
      <c r="F12" s="1">
        <v>0</v>
      </c>
      <c r="G12" s="1">
        <v>5</v>
      </c>
      <c r="H12" s="1" t="str">
        <f>IF(E12&lt;&gt;"", E12/G12, "")</f>
        <v/>
      </c>
    </row>
    <row r="13" spans="1:11" x14ac:dyDescent="0.35">
      <c r="G13"/>
    </row>
    <row r="14" spans="1:11" ht="18.5" x14ac:dyDescent="0.35">
      <c r="B14" s="3" t="s">
        <v>7</v>
      </c>
    </row>
    <row r="15" spans="1:11" x14ac:dyDescent="0.35">
      <c r="A15" s="2" t="s">
        <v>4</v>
      </c>
      <c r="B15" s="2" t="s">
        <v>5</v>
      </c>
      <c r="C15" s="2" t="s">
        <v>6</v>
      </c>
      <c r="E15" s="2" t="s">
        <v>36</v>
      </c>
    </row>
    <row r="16" spans="1:11" x14ac:dyDescent="0.35">
      <c r="A16" s="2" t="s">
        <v>11</v>
      </c>
      <c r="B16" s="2" t="s">
        <v>16</v>
      </c>
      <c r="C16" s="2" t="s">
        <v>15</v>
      </c>
      <c r="E16" s="2" t="s">
        <v>36</v>
      </c>
    </row>
    <row r="18" spans="1:2" ht="18.5" x14ac:dyDescent="0.35">
      <c r="B18" s="3" t="s">
        <v>50</v>
      </c>
    </row>
    <row r="19" spans="1:2" ht="16" x14ac:dyDescent="0.35">
      <c r="A19" s="12" t="s">
        <v>49</v>
      </c>
    </row>
    <row r="20" spans="1:2" ht="16" x14ac:dyDescent="0.35">
      <c r="A20" s="12" t="s">
        <v>51</v>
      </c>
    </row>
  </sheetData>
  <mergeCells count="6">
    <mergeCell ref="C11:C12"/>
    <mergeCell ref="B11:B12"/>
    <mergeCell ref="A11:A12"/>
    <mergeCell ref="A6:A8"/>
    <mergeCell ref="B6:B8"/>
    <mergeCell ref="C6:C8"/>
  </mergeCells>
  <conditionalFormatting sqref="E3:E1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1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4">
    <cfRule type="containsText" dxfId="11" priority="2" operator="containsText" text="Low">
      <formula>NOT(ISERROR(SEARCH("Low",K3)))</formula>
    </cfRule>
    <cfRule type="containsText" dxfId="10" priority="3" operator="containsText" text="Moderate">
      <formula>NOT(ISERROR(SEARCH("Moderate",K3)))</formula>
    </cfRule>
    <cfRule type="containsText" dxfId="9" priority="4" operator="containsText" text="High">
      <formula>NOT(ISERROR(SEARCH("High",K3)))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D531D-D88E-47E4-AD5E-B8BC26E0C70A}">
  <dimension ref="A1:K55"/>
  <sheetViews>
    <sheetView zoomScale="62" zoomScaleNormal="55" workbookViewId="0">
      <selection activeCell="M56" sqref="M56"/>
    </sheetView>
  </sheetViews>
  <sheetFormatPr defaultRowHeight="14.5" x14ac:dyDescent="0.35"/>
  <cols>
    <col min="1" max="1" width="11.6328125" bestFit="1" customWidth="1"/>
    <col min="2" max="2" width="93.6328125" customWidth="1"/>
    <col min="3" max="3" width="38.6328125" bestFit="1" customWidth="1"/>
    <col min="4" max="4" width="34.08984375" bestFit="1" customWidth="1"/>
    <col min="5" max="5" width="5.6328125" bestFit="1" customWidth="1"/>
    <col min="6" max="6" width="8.81640625" bestFit="1" customWidth="1"/>
    <col min="7" max="7" width="10.36328125" bestFit="1" customWidth="1"/>
    <col min="8" max="8" width="11.81640625" bestFit="1" customWidth="1"/>
    <col min="10" max="10" width="19.81640625" bestFit="1" customWidth="1"/>
    <col min="11" max="11" width="11.81640625" bestFit="1" customWidth="1"/>
  </cols>
  <sheetData>
    <row r="1" spans="1:11" ht="23.5" x14ac:dyDescent="0.55000000000000004">
      <c r="A1" s="10" t="s">
        <v>37</v>
      </c>
    </row>
    <row r="2" spans="1:11" ht="18.5" x14ac:dyDescent="0.35">
      <c r="A2" s="1"/>
      <c r="B2" s="5" t="s">
        <v>0</v>
      </c>
      <c r="C2" s="1"/>
      <c r="D2" s="1"/>
      <c r="E2" s="1"/>
      <c r="F2" s="1"/>
      <c r="G2" s="1"/>
      <c r="H2" s="7"/>
    </row>
    <row r="3" spans="1:11" ht="29" x14ac:dyDescent="0.35">
      <c r="A3" s="6" t="s">
        <v>3</v>
      </c>
      <c r="B3" s="6" t="s">
        <v>2</v>
      </c>
      <c r="C3" s="6" t="s">
        <v>12</v>
      </c>
      <c r="D3" s="6" t="s">
        <v>13</v>
      </c>
      <c r="E3" s="6" t="s">
        <v>24</v>
      </c>
      <c r="F3" s="6" t="s">
        <v>25</v>
      </c>
      <c r="G3" s="6" t="s">
        <v>26</v>
      </c>
      <c r="H3" s="8" t="s">
        <v>27</v>
      </c>
      <c r="J3" s="4" t="s">
        <v>34</v>
      </c>
      <c r="K3" s="1">
        <f ca="1">(SUM(H4:H6)+SUM(H4:H6)+IF(OR(H7&lt;&gt;"",H8&lt;&gt;""),SUM(H7*H9,H8*H9),0))/COUNT(H4:H13)</f>
        <v>0.60571428571428576</v>
      </c>
    </row>
    <row r="4" spans="1:11" x14ac:dyDescent="0.35">
      <c r="A4" s="1" t="s">
        <v>10</v>
      </c>
      <c r="B4" s="1" t="s">
        <v>39</v>
      </c>
      <c r="C4" s="1" t="s">
        <v>1</v>
      </c>
      <c r="D4" s="1"/>
      <c r="E4" s="1">
        <v>0.56999999999999995</v>
      </c>
      <c r="F4" s="1">
        <v>0</v>
      </c>
      <c r="G4" s="1">
        <v>1</v>
      </c>
      <c r="H4" s="1">
        <f t="shared" ref="H4:H6" si="0">IF(E4&lt;&gt;"", E4/G4, "")</f>
        <v>0.56999999999999995</v>
      </c>
      <c r="J4" s="4" t="s">
        <v>35</v>
      </c>
      <c r="K4" t="str" cm="1">
        <f t="array" aca="1" ref="K4" ca="1">_xlfn.IFS(K3&lt;0.3, "Low", AND(K3&gt;=0.3, K3&lt;0.6), "Moderate", K3&gt;=0.6, "High")</f>
        <v>High</v>
      </c>
    </row>
    <row r="5" spans="1:11" x14ac:dyDescent="0.35">
      <c r="A5" s="1" t="s">
        <v>10</v>
      </c>
      <c r="B5" s="1" t="s">
        <v>40</v>
      </c>
      <c r="C5" s="1" t="s">
        <v>1</v>
      </c>
      <c r="D5" s="1"/>
      <c r="E5" s="1">
        <v>0.55000000000000004</v>
      </c>
      <c r="F5" s="1">
        <v>0</v>
      </c>
      <c r="G5" s="1">
        <v>1</v>
      </c>
      <c r="H5" s="1">
        <f t="shared" ref="H5" si="1">IF(E5&lt;&gt;"", E5/G5, "")</f>
        <v>0.55000000000000004</v>
      </c>
      <c r="J5" s="4"/>
    </row>
    <row r="6" spans="1:11" x14ac:dyDescent="0.35">
      <c r="A6" s="1" t="s">
        <v>10</v>
      </c>
      <c r="B6" s="1" t="s">
        <v>9</v>
      </c>
      <c r="C6" s="1" t="s">
        <v>8</v>
      </c>
      <c r="D6" s="1" t="s">
        <v>33</v>
      </c>
      <c r="E6" s="1">
        <v>1</v>
      </c>
      <c r="F6" s="1">
        <v>0</v>
      </c>
      <c r="G6" s="1">
        <v>1</v>
      </c>
      <c r="H6" s="1">
        <f t="shared" si="0"/>
        <v>1</v>
      </c>
    </row>
    <row r="7" spans="1:11" ht="14.5" customHeight="1" x14ac:dyDescent="0.35">
      <c r="A7" s="11" t="s">
        <v>11</v>
      </c>
      <c r="B7" s="11" t="s">
        <v>31</v>
      </c>
      <c r="C7" s="11" t="s">
        <v>14</v>
      </c>
      <c r="D7" s="1" t="s">
        <v>47</v>
      </c>
      <c r="E7" s="1"/>
      <c r="F7" s="1">
        <v>0</v>
      </c>
      <c r="G7" s="1">
        <v>3</v>
      </c>
      <c r="H7" s="1" t="str">
        <f>IF(E7&lt;&gt;"", E7/G7, "")</f>
        <v/>
      </c>
    </row>
    <row r="8" spans="1:11" ht="29" x14ac:dyDescent="0.35">
      <c r="A8" s="11"/>
      <c r="B8" s="11"/>
      <c r="C8" s="11"/>
      <c r="D8" s="1" t="s">
        <v>48</v>
      </c>
      <c r="E8" s="1"/>
      <c r="F8" s="1">
        <v>0</v>
      </c>
      <c r="G8" s="1">
        <v>3</v>
      </c>
      <c r="H8" s="1" t="str">
        <f t="shared" ref="H8:H9" si="2">IF(E8&lt;&gt;"", E8/G8, "")</f>
        <v/>
      </c>
    </row>
    <row r="9" spans="1:11" ht="14" customHeight="1" x14ac:dyDescent="0.35">
      <c r="A9" s="11"/>
      <c r="B9" s="11"/>
      <c r="C9" s="11"/>
      <c r="D9" s="1" t="s">
        <v>30</v>
      </c>
      <c r="E9" s="1"/>
      <c r="F9" s="1">
        <v>0</v>
      </c>
      <c r="G9" s="1">
        <v>3</v>
      </c>
      <c r="H9" s="1" t="str">
        <f t="shared" si="2"/>
        <v/>
      </c>
    </row>
    <row r="10" spans="1:11" ht="29" x14ac:dyDescent="0.35">
      <c r="A10" s="1" t="s">
        <v>20</v>
      </c>
      <c r="B10" s="1" t="s">
        <v>21</v>
      </c>
      <c r="C10" s="1" t="s">
        <v>17</v>
      </c>
      <c r="D10" s="1" t="s">
        <v>32</v>
      </c>
      <c r="E10" s="1">
        <v>1</v>
      </c>
      <c r="F10" s="1">
        <v>0</v>
      </c>
      <c r="G10" s="1">
        <v>1</v>
      </c>
      <c r="H10" s="1">
        <f>IF(E10&lt;&gt;"", E10/G10, "")</f>
        <v>1</v>
      </c>
    </row>
    <row r="11" spans="1:11" ht="29" x14ac:dyDescent="0.35">
      <c r="A11" s="1" t="s">
        <v>20</v>
      </c>
      <c r="B11" s="1" t="s">
        <v>22</v>
      </c>
      <c r="C11" s="1" t="s">
        <v>18</v>
      </c>
      <c r="D11" s="1" t="s">
        <v>32</v>
      </c>
      <c r="E11" s="1">
        <v>1</v>
      </c>
      <c r="F11" s="1">
        <v>0</v>
      </c>
      <c r="G11" s="1">
        <v>1</v>
      </c>
      <c r="H11" s="1">
        <f>IF(E11&lt;&gt;"", E11/G11, "")</f>
        <v>1</v>
      </c>
    </row>
    <row r="12" spans="1:11" x14ac:dyDescent="0.35">
      <c r="A12" s="11" t="s">
        <v>20</v>
      </c>
      <c r="B12" s="11" t="s">
        <v>23</v>
      </c>
      <c r="C12" s="11">
        <v>15</v>
      </c>
      <c r="D12" s="1" t="s">
        <v>29</v>
      </c>
      <c r="E12" s="1">
        <v>0</v>
      </c>
      <c r="F12" s="1">
        <v>0</v>
      </c>
      <c r="G12" s="1">
        <f ca="1">YEAR(TODAY())-2010</f>
        <v>15</v>
      </c>
      <c r="H12" s="1">
        <f ca="1">IF(E12&lt;&gt;"", E12/G12, "")</f>
        <v>0</v>
      </c>
    </row>
    <row r="13" spans="1:11" x14ac:dyDescent="0.35">
      <c r="A13" s="11"/>
      <c r="B13" s="11"/>
      <c r="C13" s="11"/>
      <c r="D13" s="1" t="s">
        <v>28</v>
      </c>
      <c r="E13" s="1">
        <v>0</v>
      </c>
      <c r="F13" s="1">
        <v>0</v>
      </c>
      <c r="G13" s="1">
        <v>5</v>
      </c>
      <c r="H13" s="1">
        <f>IF(E13&lt;&gt;"", E13/G13, "")</f>
        <v>0</v>
      </c>
    </row>
    <row r="14" spans="1:11" x14ac:dyDescent="0.35">
      <c r="A14" s="2"/>
      <c r="B14" s="2"/>
      <c r="C14" s="2"/>
      <c r="D14" s="2"/>
      <c r="E14" s="2"/>
      <c r="F14" s="2"/>
    </row>
    <row r="15" spans="1:11" ht="18.5" x14ac:dyDescent="0.35">
      <c r="A15" s="2"/>
      <c r="B15" s="3" t="s">
        <v>7</v>
      </c>
      <c r="C15" s="2"/>
      <c r="D15" s="2"/>
      <c r="E15" s="2"/>
      <c r="F15" s="2"/>
      <c r="G15" s="2"/>
    </row>
    <row r="16" spans="1:11" x14ac:dyDescent="0.35">
      <c r="A16" s="2" t="s">
        <v>4</v>
      </c>
      <c r="B16" s="2" t="s">
        <v>5</v>
      </c>
      <c r="C16" s="2" t="s">
        <v>6</v>
      </c>
      <c r="E16" s="2" t="s">
        <v>36</v>
      </c>
      <c r="F16" s="2"/>
      <c r="G16" s="2"/>
    </row>
    <row r="17" spans="1:11" x14ac:dyDescent="0.35">
      <c r="A17" s="2" t="s">
        <v>11</v>
      </c>
      <c r="B17" s="2" t="s">
        <v>16</v>
      </c>
      <c r="C17" s="2" t="s">
        <v>15</v>
      </c>
      <c r="E17" s="2" t="s">
        <v>36</v>
      </c>
      <c r="F17" s="2"/>
      <c r="G17" s="2"/>
    </row>
    <row r="19" spans="1:11" x14ac:dyDescent="0.3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</row>
    <row r="20" spans="1:11" ht="23.5" x14ac:dyDescent="0.55000000000000004">
      <c r="A20" s="10" t="s">
        <v>38</v>
      </c>
    </row>
    <row r="21" spans="1:11" ht="18.5" x14ac:dyDescent="0.35">
      <c r="A21" s="1"/>
      <c r="B21" s="5" t="s">
        <v>0</v>
      </c>
      <c r="C21" s="1"/>
      <c r="D21" s="1"/>
      <c r="E21" s="1"/>
      <c r="F21" s="1"/>
      <c r="G21" s="1"/>
      <c r="H21" s="7"/>
    </row>
    <row r="22" spans="1:11" ht="29" x14ac:dyDescent="0.35">
      <c r="A22" s="6" t="s">
        <v>3</v>
      </c>
      <c r="B22" s="6" t="s">
        <v>2</v>
      </c>
      <c r="C22" s="6" t="s">
        <v>12</v>
      </c>
      <c r="D22" s="6" t="s">
        <v>13</v>
      </c>
      <c r="E22" s="6" t="s">
        <v>24</v>
      </c>
      <c r="F22" s="6" t="s">
        <v>25</v>
      </c>
      <c r="G22" s="6" t="s">
        <v>26</v>
      </c>
      <c r="H22" s="8" t="s">
        <v>27</v>
      </c>
      <c r="J22" s="4" t="s">
        <v>34</v>
      </c>
      <c r="K22" s="1">
        <f ca="1">(SUM(H23:H25)+SUM(H23:H25)+IF(OR(H26&lt;&gt;"",H27&lt;&gt;""),SUM(H26*H28,H27*H28),0))/COUNT(H23:H32)</f>
        <v>0.54733333333333334</v>
      </c>
    </row>
    <row r="23" spans="1:11" x14ac:dyDescent="0.35">
      <c r="A23" s="1" t="s">
        <v>10</v>
      </c>
      <c r="B23" s="1" t="s">
        <v>39</v>
      </c>
      <c r="C23" s="1" t="s">
        <v>1</v>
      </c>
      <c r="D23" s="1"/>
      <c r="E23" s="1">
        <v>0.54</v>
      </c>
      <c r="F23" s="1">
        <v>0</v>
      </c>
      <c r="G23" s="1">
        <v>1</v>
      </c>
      <c r="H23" s="1">
        <f t="shared" ref="H23:H25" si="3">IF(E23&lt;&gt;"", E23/G23, "")</f>
        <v>0.54</v>
      </c>
      <c r="J23" s="4" t="s">
        <v>35</v>
      </c>
      <c r="K23" t="str" cm="1">
        <f t="array" aca="1" ref="K23" ca="1">_xlfn.IFS(K22&lt;0.3, "Low", AND(K22&gt;=0.3, K22&lt;0.6), "Moderate", K22&gt;=0.6, "High")</f>
        <v>Moderate</v>
      </c>
    </row>
    <row r="24" spans="1:11" x14ac:dyDescent="0.35">
      <c r="A24" s="1" t="s">
        <v>10</v>
      </c>
      <c r="B24" s="1" t="s">
        <v>40</v>
      </c>
      <c r="C24" s="1" t="s">
        <v>1</v>
      </c>
      <c r="D24" s="1"/>
      <c r="E24" s="1">
        <v>0.53</v>
      </c>
      <c r="F24" s="1">
        <v>0</v>
      </c>
      <c r="G24" s="1">
        <v>1</v>
      </c>
      <c r="H24" s="1">
        <f t="shared" si="3"/>
        <v>0.53</v>
      </c>
      <c r="J24" s="4"/>
    </row>
    <row r="25" spans="1:11" ht="14.5" customHeight="1" x14ac:dyDescent="0.35">
      <c r="A25" s="1" t="s">
        <v>10</v>
      </c>
      <c r="B25" s="1" t="s">
        <v>9</v>
      </c>
      <c r="C25" s="1" t="s">
        <v>8</v>
      </c>
      <c r="D25" s="1" t="s">
        <v>33</v>
      </c>
      <c r="E25" s="1">
        <v>1</v>
      </c>
      <c r="F25" s="1">
        <v>0</v>
      </c>
      <c r="G25" s="1">
        <v>1</v>
      </c>
      <c r="H25" s="1">
        <f t="shared" si="3"/>
        <v>1</v>
      </c>
    </row>
    <row r="26" spans="1:11" ht="29" x14ac:dyDescent="0.35">
      <c r="A26" s="11" t="s">
        <v>11</v>
      </c>
      <c r="B26" s="11" t="s">
        <v>31</v>
      </c>
      <c r="C26" s="11" t="s">
        <v>14</v>
      </c>
      <c r="D26" s="1" t="s">
        <v>47</v>
      </c>
      <c r="E26" s="1">
        <v>2</v>
      </c>
      <c r="F26" s="1">
        <v>0</v>
      </c>
      <c r="G26" s="1">
        <v>3</v>
      </c>
      <c r="H26" s="1">
        <f>IF(E26&lt;&gt;"", E26/G26, "")</f>
        <v>0.66666666666666663</v>
      </c>
    </row>
    <row r="27" spans="1:11" ht="29" x14ac:dyDescent="0.35">
      <c r="A27" s="11"/>
      <c r="B27" s="11"/>
      <c r="C27" s="11"/>
      <c r="D27" s="1" t="s">
        <v>48</v>
      </c>
      <c r="E27" s="1">
        <v>2</v>
      </c>
      <c r="F27" s="1">
        <v>0</v>
      </c>
      <c r="G27" s="1">
        <v>3</v>
      </c>
      <c r="H27" s="1">
        <f t="shared" ref="H27:H28" si="4">IF(E27&lt;&gt;"", E27/G27, "")</f>
        <v>0.66666666666666663</v>
      </c>
    </row>
    <row r="28" spans="1:11" ht="29" x14ac:dyDescent="0.35">
      <c r="A28" s="11"/>
      <c r="B28" s="11"/>
      <c r="C28" s="11"/>
      <c r="D28" s="1" t="s">
        <v>30</v>
      </c>
      <c r="E28" s="1">
        <v>3</v>
      </c>
      <c r="F28" s="1">
        <v>0</v>
      </c>
      <c r="G28" s="1">
        <v>3</v>
      </c>
      <c r="H28" s="1">
        <f t="shared" si="4"/>
        <v>1</v>
      </c>
    </row>
    <row r="29" spans="1:11" ht="29" x14ac:dyDescent="0.35">
      <c r="A29" s="1" t="s">
        <v>20</v>
      </c>
      <c r="B29" s="1" t="s">
        <v>21</v>
      </c>
      <c r="C29" s="1" t="s">
        <v>17</v>
      </c>
      <c r="D29" s="1" t="s">
        <v>32</v>
      </c>
      <c r="E29" s="1">
        <v>1</v>
      </c>
      <c r="F29" s="1">
        <v>0</v>
      </c>
      <c r="G29" s="1">
        <v>1</v>
      </c>
      <c r="H29" s="1">
        <f>IF(E29&lt;&gt;"", E29/G29, "")</f>
        <v>1</v>
      </c>
    </row>
    <row r="30" spans="1:11" ht="29" x14ac:dyDescent="0.35">
      <c r="A30" s="1" t="s">
        <v>20</v>
      </c>
      <c r="B30" s="1" t="s">
        <v>22</v>
      </c>
      <c r="C30" s="1" t="s">
        <v>18</v>
      </c>
      <c r="D30" s="1" t="s">
        <v>32</v>
      </c>
      <c r="E30" s="1">
        <v>1</v>
      </c>
      <c r="F30" s="1">
        <v>0</v>
      </c>
      <c r="G30" s="1">
        <v>1</v>
      </c>
      <c r="H30" s="1">
        <f>IF(E30&lt;&gt;"", E30/G30, "")</f>
        <v>1</v>
      </c>
    </row>
    <row r="31" spans="1:11" x14ac:dyDescent="0.35">
      <c r="A31" s="11" t="s">
        <v>20</v>
      </c>
      <c r="B31" s="11" t="s">
        <v>23</v>
      </c>
      <c r="C31" s="11" t="s">
        <v>19</v>
      </c>
      <c r="D31" s="1" t="s">
        <v>42</v>
      </c>
      <c r="E31" s="1">
        <v>6</v>
      </c>
      <c r="F31" s="1">
        <v>0</v>
      </c>
      <c r="G31" s="1">
        <f ca="1">YEAR(TODAY())-2010</f>
        <v>15</v>
      </c>
      <c r="H31" s="1">
        <f ca="1">IF(E31&lt;&gt;"", E31/G31, "")</f>
        <v>0.4</v>
      </c>
    </row>
    <row r="32" spans="1:11" x14ac:dyDescent="0.35">
      <c r="A32" s="11"/>
      <c r="B32" s="11"/>
      <c r="C32" s="11"/>
      <c r="D32" s="1" t="s">
        <v>43</v>
      </c>
      <c r="E32" s="1">
        <v>3</v>
      </c>
      <c r="F32" s="1">
        <v>0</v>
      </c>
      <c r="G32" s="1">
        <v>5</v>
      </c>
      <c r="H32" s="1">
        <f>IF(E32&lt;&gt;"", E32/G32, "")</f>
        <v>0.6</v>
      </c>
    </row>
    <row r="33" spans="1:11" x14ac:dyDescent="0.35">
      <c r="A33" s="2"/>
      <c r="B33" s="2"/>
      <c r="C33" s="2"/>
      <c r="D33" s="2"/>
      <c r="E33" s="2"/>
      <c r="F33" s="2"/>
    </row>
    <row r="34" spans="1:11" ht="18.5" x14ac:dyDescent="0.35">
      <c r="A34" s="2"/>
      <c r="B34" s="3" t="s">
        <v>7</v>
      </c>
      <c r="C34" s="2"/>
      <c r="D34" s="2"/>
      <c r="E34" s="2"/>
      <c r="F34" s="2"/>
      <c r="G34" s="2"/>
    </row>
    <row r="35" spans="1:11" x14ac:dyDescent="0.35">
      <c r="A35" s="2" t="s">
        <v>4</v>
      </c>
      <c r="B35" s="2" t="s">
        <v>5</v>
      </c>
      <c r="C35" s="2" t="s">
        <v>6</v>
      </c>
      <c r="E35" s="2" t="s">
        <v>36</v>
      </c>
      <c r="F35" s="2"/>
      <c r="G35" s="2"/>
    </row>
    <row r="36" spans="1:11" x14ac:dyDescent="0.35">
      <c r="A36" s="2" t="s">
        <v>11</v>
      </c>
      <c r="B36" s="2" t="s">
        <v>16</v>
      </c>
      <c r="C36" s="2" t="s">
        <v>15</v>
      </c>
      <c r="E36" s="2" t="s">
        <v>41</v>
      </c>
      <c r="F36" s="2"/>
      <c r="G36" s="2"/>
    </row>
    <row r="38" spans="1:11" x14ac:dyDescent="0.3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 ht="23.5" x14ac:dyDescent="0.55000000000000004">
      <c r="A39" s="10" t="s">
        <v>44</v>
      </c>
    </row>
    <row r="40" spans="1:11" ht="18.5" x14ac:dyDescent="0.35">
      <c r="A40" s="1"/>
      <c r="B40" s="5" t="s">
        <v>0</v>
      </c>
      <c r="C40" s="1"/>
      <c r="D40" s="1"/>
      <c r="E40" s="1"/>
      <c r="F40" s="1"/>
      <c r="G40" s="1"/>
      <c r="H40" s="7"/>
    </row>
    <row r="41" spans="1:11" ht="29" x14ac:dyDescent="0.35">
      <c r="A41" s="6" t="s">
        <v>3</v>
      </c>
      <c r="B41" s="6" t="s">
        <v>2</v>
      </c>
      <c r="C41" s="6" t="s">
        <v>12</v>
      </c>
      <c r="D41" s="6" t="s">
        <v>13</v>
      </c>
      <c r="E41" s="6" t="s">
        <v>24</v>
      </c>
      <c r="F41" s="6" t="s">
        <v>25</v>
      </c>
      <c r="G41" s="6" t="s">
        <v>26</v>
      </c>
      <c r="H41" s="8" t="s">
        <v>27</v>
      </c>
      <c r="J41" s="4" t="s">
        <v>34</v>
      </c>
      <c r="K41" s="1">
        <f>(SUM(H42:H44)+SUM(H42:H44)+IF(OR(H45&lt;&gt;"",H46&lt;&gt;""),SUM(H45*H47,H46*H47),0))/COUNT(H42:H51)</f>
        <v>0.33305555555555555</v>
      </c>
    </row>
    <row r="42" spans="1:11" x14ac:dyDescent="0.35">
      <c r="A42" s="1" t="s">
        <v>10</v>
      </c>
      <c r="B42" s="1" t="s">
        <v>39</v>
      </c>
      <c r="C42" s="1" t="s">
        <v>1</v>
      </c>
      <c r="D42" s="1"/>
      <c r="E42" s="1">
        <v>0.55000000000000004</v>
      </c>
      <c r="F42" s="1">
        <v>0</v>
      </c>
      <c r="G42" s="1">
        <v>1</v>
      </c>
      <c r="H42" s="1">
        <f t="shared" ref="H42:H44" si="5">IF(E42&lt;&gt;"", E42/G42, "")</f>
        <v>0.55000000000000004</v>
      </c>
      <c r="J42" s="4" t="s">
        <v>35</v>
      </c>
      <c r="K42" t="str" cm="1">
        <f t="array" ref="K42">_xlfn.IFS(K41&lt;0.3, "Low", AND(K41&gt;=0.3, K41&lt;0.6), "Moderate", K41&gt;=0.6, "High")</f>
        <v>Moderate</v>
      </c>
    </row>
    <row r="43" spans="1:11" x14ac:dyDescent="0.35">
      <c r="A43" s="1" t="s">
        <v>10</v>
      </c>
      <c r="B43" s="1" t="s">
        <v>40</v>
      </c>
      <c r="C43" s="1" t="s">
        <v>1</v>
      </c>
      <c r="D43" s="1"/>
      <c r="E43" s="1">
        <v>0.56000000000000005</v>
      </c>
      <c r="F43" s="1">
        <v>0</v>
      </c>
      <c r="G43" s="1">
        <v>1</v>
      </c>
      <c r="H43" s="1">
        <f t="shared" si="5"/>
        <v>0.56000000000000005</v>
      </c>
      <c r="J43" s="4"/>
    </row>
    <row r="44" spans="1:11" x14ac:dyDescent="0.35">
      <c r="A44" s="1" t="s">
        <v>10</v>
      </c>
      <c r="B44" s="1" t="s">
        <v>9</v>
      </c>
      <c r="C44" s="1" t="s">
        <v>8</v>
      </c>
      <c r="D44" s="1" t="s">
        <v>33</v>
      </c>
      <c r="E44" s="1">
        <v>0</v>
      </c>
      <c r="F44" s="1">
        <v>0</v>
      </c>
      <c r="G44" s="1">
        <v>1</v>
      </c>
      <c r="H44" s="1">
        <f t="shared" si="5"/>
        <v>0</v>
      </c>
    </row>
    <row r="45" spans="1:11" ht="29" x14ac:dyDescent="0.35">
      <c r="A45" s="11" t="s">
        <v>11</v>
      </c>
      <c r="B45" s="11" t="s">
        <v>31</v>
      </c>
      <c r="C45" s="11" t="s">
        <v>14</v>
      </c>
      <c r="D45" s="1" t="s">
        <v>46</v>
      </c>
      <c r="E45" s="1">
        <v>1</v>
      </c>
      <c r="F45" s="1">
        <v>0</v>
      </c>
      <c r="G45" s="1">
        <v>3</v>
      </c>
      <c r="H45" s="1">
        <f>IF(E45&lt;&gt;"", E45/G45, "")</f>
        <v>0.33333333333333331</v>
      </c>
    </row>
    <row r="46" spans="1:11" ht="29" x14ac:dyDescent="0.35">
      <c r="A46" s="11"/>
      <c r="B46" s="11"/>
      <c r="C46" s="11"/>
      <c r="D46" s="1" t="s">
        <v>45</v>
      </c>
      <c r="E46" s="1">
        <v>1</v>
      </c>
      <c r="F46" s="1">
        <v>0</v>
      </c>
      <c r="G46" s="1">
        <v>3</v>
      </c>
      <c r="H46" s="1">
        <f t="shared" ref="H46" si="6">IF(E46&lt;&gt;"", E46/G46, "")</f>
        <v>0.33333333333333331</v>
      </c>
    </row>
    <row r="47" spans="1:11" ht="29" x14ac:dyDescent="0.35">
      <c r="A47" s="11"/>
      <c r="B47" s="11"/>
      <c r="C47" s="11"/>
      <c r="D47" s="1" t="s">
        <v>30</v>
      </c>
      <c r="E47" s="1">
        <v>2</v>
      </c>
      <c r="F47" s="1">
        <v>0</v>
      </c>
      <c r="G47" s="1">
        <v>3</v>
      </c>
      <c r="H47" s="1">
        <f>IF(E47&lt;&gt;"", E47/G47, "")</f>
        <v>0.66666666666666663</v>
      </c>
    </row>
    <row r="48" spans="1:11" ht="29" x14ac:dyDescent="0.35">
      <c r="A48" s="1" t="s">
        <v>20</v>
      </c>
      <c r="B48" s="1" t="s">
        <v>21</v>
      </c>
      <c r="C48" s="1" t="s">
        <v>17</v>
      </c>
      <c r="D48" s="1" t="s">
        <v>32</v>
      </c>
      <c r="E48" s="1">
        <v>1</v>
      </c>
      <c r="F48" s="1">
        <v>0</v>
      </c>
      <c r="G48" s="1">
        <v>1</v>
      </c>
      <c r="H48" s="1">
        <f>IF(E48&lt;&gt;"", E48/G48, "")</f>
        <v>1</v>
      </c>
    </row>
    <row r="49" spans="1:8" ht="29" x14ac:dyDescent="0.35">
      <c r="A49" s="1" t="s">
        <v>20</v>
      </c>
      <c r="B49" s="1" t="s">
        <v>22</v>
      </c>
      <c r="C49" s="1" t="s">
        <v>18</v>
      </c>
      <c r="D49" s="1" t="s">
        <v>32</v>
      </c>
      <c r="E49" s="1">
        <v>0</v>
      </c>
      <c r="F49" s="1">
        <v>0</v>
      </c>
      <c r="G49" s="1">
        <v>1</v>
      </c>
      <c r="H49" s="1">
        <f>IF(E49&lt;&gt;"", E49/G49, "")</f>
        <v>0</v>
      </c>
    </row>
    <row r="50" spans="1:8" x14ac:dyDescent="0.35">
      <c r="A50" s="11" t="s">
        <v>20</v>
      </c>
      <c r="B50" s="11" t="s">
        <v>23</v>
      </c>
      <c r="C50" s="11" t="s">
        <v>19</v>
      </c>
      <c r="D50" s="1" t="s">
        <v>42</v>
      </c>
      <c r="E50" s="1"/>
      <c r="F50" s="1">
        <v>0</v>
      </c>
      <c r="G50" s="1">
        <f ca="1">YEAR(TODAY())-2010</f>
        <v>15</v>
      </c>
      <c r="H50" s="1" t="str">
        <f>IF(E50&lt;&gt;"", E50/G50, "")</f>
        <v/>
      </c>
    </row>
    <row r="51" spans="1:8" x14ac:dyDescent="0.35">
      <c r="A51" s="11"/>
      <c r="B51" s="11"/>
      <c r="C51" s="11"/>
      <c r="D51" s="1" t="s">
        <v>43</v>
      </c>
      <c r="E51" s="1"/>
      <c r="F51" s="1">
        <v>0</v>
      </c>
      <c r="G51" s="1">
        <v>5</v>
      </c>
      <c r="H51" s="1" t="str">
        <f>IF(E51&lt;&gt;"", E51/G51, "")</f>
        <v/>
      </c>
    </row>
    <row r="52" spans="1:8" x14ac:dyDescent="0.35">
      <c r="A52" s="2"/>
      <c r="B52" s="2"/>
      <c r="C52" s="2"/>
      <c r="D52" s="2"/>
      <c r="E52" s="2"/>
      <c r="F52" s="2"/>
    </row>
    <row r="53" spans="1:8" ht="18.5" x14ac:dyDescent="0.35">
      <c r="A53" s="2"/>
      <c r="B53" s="3" t="s">
        <v>7</v>
      </c>
      <c r="C53" s="2"/>
      <c r="D53" s="2"/>
      <c r="E53" s="2"/>
      <c r="F53" s="2"/>
      <c r="G53" s="2"/>
    </row>
    <row r="54" spans="1:8" x14ac:dyDescent="0.35">
      <c r="A54" s="2" t="s">
        <v>4</v>
      </c>
      <c r="B54" s="2" t="s">
        <v>5</v>
      </c>
      <c r="C54" s="2" t="s">
        <v>6</v>
      </c>
      <c r="E54" s="2" t="s">
        <v>41</v>
      </c>
      <c r="F54" s="2"/>
      <c r="G54" s="2"/>
    </row>
    <row r="55" spans="1:8" x14ac:dyDescent="0.35">
      <c r="A55" s="2" t="s">
        <v>11</v>
      </c>
      <c r="B55" s="2" t="s">
        <v>16</v>
      </c>
      <c r="C55" s="2" t="s">
        <v>15</v>
      </c>
      <c r="E55" s="2" t="s">
        <v>41</v>
      </c>
      <c r="F55" s="2"/>
      <c r="G55" s="2"/>
    </row>
  </sheetData>
  <mergeCells count="18">
    <mergeCell ref="A12:A13"/>
    <mergeCell ref="B12:B13"/>
    <mergeCell ref="C12:C13"/>
    <mergeCell ref="A7:A9"/>
    <mergeCell ref="B7:B9"/>
    <mergeCell ref="C7:C9"/>
    <mergeCell ref="A50:A51"/>
    <mergeCell ref="B50:B51"/>
    <mergeCell ref="C50:C51"/>
    <mergeCell ref="A26:A28"/>
    <mergeCell ref="B26:B28"/>
    <mergeCell ref="C26:C28"/>
    <mergeCell ref="A31:A32"/>
    <mergeCell ref="B31:B32"/>
    <mergeCell ref="C31:C32"/>
    <mergeCell ref="A45:A47"/>
    <mergeCell ref="B45:B47"/>
    <mergeCell ref="C45:C47"/>
  </mergeCells>
  <conditionalFormatting sqref="E4:E13 H4:H13 K3 E23:E32 H23:H32 K22 E42:E49 H42:H49 K41">
    <cfRule type="colorScale" priority="1">
      <colorScale>
        <cfvo type="num" val="0"/>
        <cfvo type="num" val="1"/>
        <color theme="9" tint="0.39997558519241921"/>
        <color rgb="FFFF7C80"/>
      </colorScale>
    </cfRule>
  </conditionalFormatting>
  <conditionalFormatting sqref="K4:K5">
    <cfRule type="containsText" dxfId="8" priority="21" operator="containsText" text="Low">
      <formula>NOT(ISERROR(SEARCH("Low",K4)))</formula>
    </cfRule>
    <cfRule type="containsText" dxfId="7" priority="22" operator="containsText" text="Moderate">
      <formula>NOT(ISERROR(SEARCH("Moderate",K4)))</formula>
    </cfRule>
    <cfRule type="containsText" dxfId="6" priority="23" operator="containsText" text="High">
      <formula>NOT(ISERROR(SEARCH("High",K4)))</formula>
    </cfRule>
  </conditionalFormatting>
  <conditionalFormatting sqref="K23:K24">
    <cfRule type="containsText" dxfId="5" priority="11" operator="containsText" text="Low">
      <formula>NOT(ISERROR(SEARCH("Low",K23)))</formula>
    </cfRule>
    <cfRule type="containsText" dxfId="4" priority="12" operator="containsText" text="Moderate">
      <formula>NOT(ISERROR(SEARCH("Moderate",K23)))</formula>
    </cfRule>
    <cfRule type="containsText" dxfId="3" priority="13" operator="containsText" text="High">
      <formula>NOT(ISERROR(SEARCH("High",K23)))</formula>
    </cfRule>
  </conditionalFormatting>
  <conditionalFormatting sqref="K42:K43">
    <cfRule type="containsText" dxfId="2" priority="6" operator="containsText" text="Low">
      <formula>NOT(ISERROR(SEARCH("Low",K42)))</formula>
    </cfRule>
    <cfRule type="containsText" dxfId="1" priority="7" operator="containsText" text="Moderate">
      <formula>NOT(ISERROR(SEARCH("Moderate",K42)))</formula>
    </cfRule>
    <cfRule type="containsText" dxfId="0" priority="8" operator="containsText" text="High">
      <formula>NOT(ISERROR(SEARCH("High",K42)))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Susceptibility score</vt:lpstr>
      <vt:lpstr>Example - LMCC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Guo</dc:creator>
  <cp:lastModifiedBy>Karina Guo</cp:lastModifiedBy>
  <dcterms:created xsi:type="dcterms:W3CDTF">2025-11-02T23:12:02Z</dcterms:created>
  <dcterms:modified xsi:type="dcterms:W3CDTF">2025-11-05T02:48:16Z</dcterms:modified>
</cp:coreProperties>
</file>